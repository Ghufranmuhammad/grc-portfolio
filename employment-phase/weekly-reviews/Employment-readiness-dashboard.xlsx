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5B8185C-E419-1C4B-8AA4-2DE621208C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mand Center" sheetId="1" r:id="rId1"/>
    <sheet name="Readiness Tracker" sheetId="2" r:id="rId2"/>
  </sheets>
  <definedNames>
    <definedName name="_xlnm._FilterDatabase" localSheetId="1" hidden="1">'Readiness Tracker'!$A$1:$E$15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K6" i="1"/>
  <c r="H6" i="1"/>
  <c r="E6" i="1"/>
  <c r="B6" i="1"/>
</calcChain>
</file>

<file path=xl/sharedStrings.xml><?xml version="1.0" encoding="utf-8"?>
<sst xmlns="http://schemas.openxmlformats.org/spreadsheetml/2006/main" count="61" uniqueCount="36">
  <si>
    <t>Employment Readiness Command Center</t>
  </si>
  <si>
    <t>Overview of job search milestones, application pipeline, and action items.</t>
  </si>
  <si>
    <t>Total Milestones Tracked</t>
  </si>
  <si>
    <t>Completed Milestones</t>
  </si>
  <si>
    <t>In Progress</t>
  </si>
  <si>
    <t>Completion Rate</t>
  </si>
  <si>
    <t>Milestone Status Breakdown</t>
  </si>
  <si>
    <t>Status</t>
  </si>
  <si>
    <t>Count</t>
  </si>
  <si>
    <t>Not Started</t>
  </si>
  <si>
    <t>Completed</t>
  </si>
  <si>
    <t>Needs Review</t>
  </si>
  <si>
    <t>Total Items</t>
  </si>
  <si>
    <t>Milestone / Metric Item</t>
  </si>
  <si>
    <t>Category</t>
  </si>
  <si>
    <t>Target / Count</t>
  </si>
  <si>
    <t>Notes / Details</t>
  </si>
  <si>
    <t>Resume completed</t>
  </si>
  <si>
    <t>Profile &amp; Presence</t>
  </si>
  <si>
    <t>LinkedIn completed</t>
  </si>
  <si>
    <t>GitHub projects ready</t>
  </si>
  <si>
    <t>Job tracker completed</t>
  </si>
  <si>
    <t>Pipeline &amp; Tracking</t>
  </si>
  <si>
    <t>Recruiter outreach completed</t>
  </si>
  <si>
    <t>Networking &amp; Outreach</t>
  </si>
  <si>
    <t>Interview preparation completed</t>
  </si>
  <si>
    <t>Preparation</t>
  </si>
  <si>
    <t>Applications submitted</t>
  </si>
  <si>
    <t>Recruiter responses</t>
  </si>
  <si>
    <t>Screening calls</t>
  </si>
  <si>
    <t>Interviews</t>
  </si>
  <si>
    <t>Assessments</t>
  </si>
  <si>
    <t>Rejections</t>
  </si>
  <si>
    <t>Follow-ups pending</t>
  </si>
  <si>
    <t>Action Items</t>
  </si>
  <si>
    <t>Portfolio improvements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</si>
</sst>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b/>
      <sz val="16"/>
      <color rgb="FF1A252C"/>
      <name val="Segoe UI"/>
    </font>
    <font>
      <i/>
      <sz val="10"/>
      <color rgb="FF5A6B74"/>
      <name val="Segoe UI"/>
    </font>
    <font>
      <b/>
      <sz val="10"/>
      <color rgb="FF5A6B74"/>
      <name val="Segoe UI"/>
    </font>
    <font>
      <b/>
      <sz val="18"/>
      <color rgb="FF004D40"/>
      <name val="Segoe UI"/>
    </font>
    <font>
      <b/>
      <sz val="12"/>
      <color rgb="FF1A252C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04D40"/>
        <bgColor rgb="FF004D40"/>
      </patternFill>
    </fill>
    <fill>
      <patternFill patternType="solid">
        <fgColor rgb="FFF0F4F4"/>
        <bgColor rgb="FFF0F4F4"/>
      </patternFill>
    </fill>
    <fill>
      <patternFill patternType="solid">
        <fgColor rgb="FFFFFFFF"/>
        <bgColor rgb="FFFFFFFF"/>
      </patternFill>
    </fill>
    <fill>
      <patternFill patternType="solid">
        <fgColor rgb="FFEAEEF1"/>
        <bgColor rgb="FFEAEE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Readiness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'Command Center'!C11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'Command Center'!$B$12:$B$15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Needs Review</c:v>
                </c:pt>
              </c:strCache>
            </c:strRef>
          </c:cat>
          <c:val>
            <c:numRef>
              <c:f>'Command Center'!$C$12:$C$15</c:f>
              <c:numCache>
                <c:formatCode>General</c:formatCode>
                <c:ptCount val="4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0-E849-83B7-F87775489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"/>
  <sheetViews>
    <sheetView tabSelected="1" topLeftCell="E1" workbookViewId="0"/>
  </sheetViews>
  <sheetFormatPr defaultRowHeight="15" x14ac:dyDescent="0.2"/>
  <cols>
    <col min="1" max="1" width="4.03515625" customWidth="1"/>
    <col min="2" max="2" width="23.9453125" customWidth="1"/>
    <col min="3" max="3" width="11.97265625" customWidth="1"/>
    <col min="4" max="4" width="4.03515625" customWidth="1"/>
    <col min="5" max="5" width="23.9453125" customWidth="1"/>
    <col min="6" max="7" width="11.97265625" customWidth="1"/>
    <col min="8" max="8" width="14.9296875" customWidth="1"/>
    <col min="9" max="10" width="11.97265625" customWidth="1"/>
    <col min="11" max="11" width="18.96484375" customWidth="1"/>
    <col min="12" max="13" width="11.97265625" customWidth="1"/>
  </cols>
  <sheetData>
    <row r="2" spans="2:13" ht="23.25" x14ac:dyDescent="0.35">
      <c r="B2" s="1" t="s">
        <v>0</v>
      </c>
    </row>
    <row r="3" spans="2:13" x14ac:dyDescent="0.2">
      <c r="B3" s="2" t="s">
        <v>1</v>
      </c>
    </row>
    <row r="5" spans="2:13" x14ac:dyDescent="0.2">
      <c r="B5" s="21" t="s">
        <v>2</v>
      </c>
      <c r="C5" s="20"/>
      <c r="D5" s="20"/>
      <c r="E5" s="21" t="s">
        <v>3</v>
      </c>
      <c r="F5" s="20"/>
      <c r="G5" s="20"/>
      <c r="H5" s="21" t="s">
        <v>4</v>
      </c>
      <c r="I5" s="20"/>
      <c r="J5" s="20"/>
      <c r="K5" s="21" t="s">
        <v>5</v>
      </c>
      <c r="L5" s="20"/>
      <c r="M5" s="20"/>
    </row>
    <row r="6" spans="2:13" x14ac:dyDescent="0.2">
      <c r="B6" s="19">
        <f>COUNTA('Readiness Tracker'!A2:A15)</f>
        <v>14</v>
      </c>
      <c r="C6" s="20"/>
      <c r="D6" s="20"/>
      <c r="E6" s="19">
        <f>COUNTIF('Readiness Tracker'!C2:C100, "Completed")</f>
        <v>0</v>
      </c>
      <c r="F6" s="20"/>
      <c r="G6" s="20"/>
      <c r="H6" s="19">
        <f>COUNTIF('Readiness Tracker'!C2:C100, "In Progress")</f>
        <v>0</v>
      </c>
      <c r="I6" s="20"/>
      <c r="J6" s="20"/>
      <c r="K6" s="22">
        <f>IF(COUNTA('Readiness Tracker'!A2:A15)&gt;0, COUNTIF('Readiness Tracker'!C2:C100, "Completed")/COUNTA('Readiness Tracker'!A2:A15), 0)</f>
        <v>0</v>
      </c>
      <c r="L6" s="20"/>
      <c r="M6" s="20"/>
    </row>
    <row r="7" spans="2:13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10" spans="2:13" ht="17.25" x14ac:dyDescent="0.25">
      <c r="B10" s="3" t="s">
        <v>6</v>
      </c>
    </row>
    <row r="11" spans="2:13" ht="24" customHeight="1" x14ac:dyDescent="0.2">
      <c r="B11" s="4" t="s">
        <v>7</v>
      </c>
      <c r="C11" s="5" t="s">
        <v>8</v>
      </c>
    </row>
    <row r="12" spans="2:13" ht="20.100000000000001" customHeight="1" x14ac:dyDescent="0.2">
      <c r="B12" s="6" t="s">
        <v>9</v>
      </c>
      <c r="C12" s="7">
        <f>COUNTIF('Readiness Tracker'!C2:C100, B12)</f>
        <v>14</v>
      </c>
    </row>
    <row r="13" spans="2:13" ht="20.100000000000001" customHeight="1" x14ac:dyDescent="0.2">
      <c r="B13" s="8" t="s">
        <v>4</v>
      </c>
      <c r="C13" s="9">
        <f>COUNTIF('Readiness Tracker'!C2:C100, B13)</f>
        <v>0</v>
      </c>
    </row>
    <row r="14" spans="2:13" ht="20.100000000000001" customHeight="1" x14ac:dyDescent="0.2">
      <c r="B14" s="6" t="s">
        <v>10</v>
      </c>
      <c r="C14" s="7">
        <f>COUNTIF('Readiness Tracker'!C2:C100, B14)</f>
        <v>0</v>
      </c>
    </row>
    <row r="15" spans="2:13" ht="20.100000000000001" customHeight="1" x14ac:dyDescent="0.2">
      <c r="B15" s="8" t="s">
        <v>11</v>
      </c>
      <c r="C15" s="9">
        <f>COUNTIF('Readiness Tracker'!C2:C100, B15)</f>
        <v>0</v>
      </c>
    </row>
    <row r="16" spans="2:13" ht="21.95" customHeight="1" x14ac:dyDescent="0.2">
      <c r="B16" s="10" t="s">
        <v>12</v>
      </c>
      <c r="C16" s="11">
        <f>SUM(C12:C15)</f>
        <v>14</v>
      </c>
    </row>
  </sheetData>
  <mergeCells count="8">
    <mergeCell ref="K5:M5"/>
    <mergeCell ref="H5:J5"/>
    <mergeCell ref="K6:M7"/>
    <mergeCell ref="E6:G7"/>
    <mergeCell ref="H6:J7"/>
    <mergeCell ref="B5:D5"/>
    <mergeCell ref="B6:D7"/>
    <mergeCell ref="E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xSplit="1" ySplit="1" topLeftCell="B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34.03125" customWidth="1"/>
    <col min="2" max="2" width="23.9453125" customWidth="1"/>
    <col min="3" max="4" width="18.0234375" customWidth="1"/>
    <col min="5" max="5" width="29.99609375" customWidth="1"/>
  </cols>
  <sheetData>
    <row r="1" spans="1:5" ht="27.95" customHeight="1" x14ac:dyDescent="0.25">
      <c r="A1" s="12" t="s">
        <v>13</v>
      </c>
      <c r="B1" s="12" t="s">
        <v>14</v>
      </c>
      <c r="C1" s="12" t="s">
        <v>7</v>
      </c>
      <c r="D1" s="12" t="s">
        <v>15</v>
      </c>
      <c r="E1" s="12" t="s">
        <v>16</v>
      </c>
    </row>
    <row r="2" spans="1:5" ht="21.95" customHeight="1" x14ac:dyDescent="0.2">
      <c r="A2" s="13" t="s">
        <v>17</v>
      </c>
      <c r="B2" s="14" t="s">
        <v>18</v>
      </c>
      <c r="C2" s="7" t="s">
        <v>9</v>
      </c>
      <c r="D2" s="14"/>
      <c r="E2" s="15"/>
    </row>
    <row r="3" spans="1:5" ht="21.95" customHeight="1" x14ac:dyDescent="0.2">
      <c r="A3" s="16" t="s">
        <v>19</v>
      </c>
      <c r="B3" s="17" t="s">
        <v>18</v>
      </c>
      <c r="C3" s="9" t="s">
        <v>9</v>
      </c>
      <c r="D3" s="17"/>
      <c r="E3" s="18"/>
    </row>
    <row r="4" spans="1:5" ht="21.95" customHeight="1" x14ac:dyDescent="0.2">
      <c r="A4" s="13" t="s">
        <v>20</v>
      </c>
      <c r="B4" s="14" t="s">
        <v>18</v>
      </c>
      <c r="C4" s="7" t="s">
        <v>9</v>
      </c>
      <c r="D4" s="14"/>
      <c r="E4" s="15"/>
    </row>
    <row r="5" spans="1:5" ht="21.95" customHeight="1" x14ac:dyDescent="0.2">
      <c r="A5" s="16" t="s">
        <v>21</v>
      </c>
      <c r="B5" s="17" t="s">
        <v>22</v>
      </c>
      <c r="C5" s="9" t="s">
        <v>9</v>
      </c>
      <c r="D5" s="17"/>
      <c r="E5" s="18"/>
    </row>
    <row r="6" spans="1:5" ht="21.95" customHeight="1" x14ac:dyDescent="0.2">
      <c r="A6" s="13" t="s">
        <v>23</v>
      </c>
      <c r="B6" s="14" t="s">
        <v>24</v>
      </c>
      <c r="C6" s="7" t="s">
        <v>9</v>
      </c>
      <c r="D6" s="14"/>
      <c r="E6" s="15"/>
    </row>
    <row r="7" spans="1:5" ht="21.95" customHeight="1" x14ac:dyDescent="0.2">
      <c r="A7" s="16" t="s">
        <v>25</v>
      </c>
      <c r="B7" s="17" t="s">
        <v>26</v>
      </c>
      <c r="C7" s="9" t="s">
        <v>9</v>
      </c>
      <c r="D7" s="17"/>
      <c r="E7" s="18"/>
    </row>
    <row r="8" spans="1:5" ht="21.95" customHeight="1" x14ac:dyDescent="0.2">
      <c r="A8" s="13" t="s">
        <v>27</v>
      </c>
      <c r="B8" s="14" t="s">
        <v>22</v>
      </c>
      <c r="C8" s="7" t="s">
        <v>9</v>
      </c>
      <c r="D8" s="14"/>
      <c r="E8" s="15"/>
    </row>
    <row r="9" spans="1:5" ht="21.95" customHeight="1" x14ac:dyDescent="0.2">
      <c r="A9" s="16" t="s">
        <v>28</v>
      </c>
      <c r="B9" s="17" t="s">
        <v>22</v>
      </c>
      <c r="C9" s="9" t="s">
        <v>9</v>
      </c>
      <c r="D9" s="17"/>
      <c r="E9" s="18"/>
    </row>
    <row r="10" spans="1:5" ht="21.95" customHeight="1" x14ac:dyDescent="0.2">
      <c r="A10" s="13" t="s">
        <v>29</v>
      </c>
      <c r="B10" s="14" t="s">
        <v>22</v>
      </c>
      <c r="C10" s="7" t="s">
        <v>9</v>
      </c>
      <c r="D10" s="14"/>
      <c r="E10" s="15"/>
    </row>
    <row r="11" spans="1:5" ht="21.95" customHeight="1" x14ac:dyDescent="0.2">
      <c r="A11" s="16" t="s">
        <v>30</v>
      </c>
      <c r="B11" s="17" t="s">
        <v>22</v>
      </c>
      <c r="C11" s="9" t="s">
        <v>9</v>
      </c>
      <c r="D11" s="17"/>
      <c r="E11" s="18"/>
    </row>
    <row r="12" spans="1:5" ht="21.95" customHeight="1" x14ac:dyDescent="0.2">
      <c r="A12" s="13" t="s">
        <v>31</v>
      </c>
      <c r="B12" s="14" t="s">
        <v>22</v>
      </c>
      <c r="C12" s="7" t="s">
        <v>9</v>
      </c>
      <c r="D12" s="14"/>
      <c r="E12" s="15"/>
    </row>
    <row r="13" spans="1:5" ht="21.95" customHeight="1" x14ac:dyDescent="0.2">
      <c r="A13" s="16" t="s">
        <v>32</v>
      </c>
      <c r="B13" s="17" t="s">
        <v>22</v>
      </c>
      <c r="C13" s="9" t="s">
        <v>9</v>
      </c>
      <c r="D13" s="17"/>
      <c r="E13" s="18"/>
    </row>
    <row r="14" spans="1:5" ht="21.95" customHeight="1" x14ac:dyDescent="0.2">
      <c r="A14" s="13" t="s">
        <v>33</v>
      </c>
      <c r="B14" s="14" t="s">
        <v>34</v>
      </c>
      <c r="C14" s="7" t="s">
        <v>9</v>
      </c>
      <c r="D14" s="14"/>
      <c r="E14" s="15"/>
    </row>
    <row r="15" spans="1:5" ht="21.95" customHeight="1" x14ac:dyDescent="0.2">
      <c r="A15" s="16" t="s">
        <v>35</v>
      </c>
      <c r="B15" s="17" t="s">
        <v>34</v>
      </c>
      <c r="C15" s="9" t="s">
        <v>9</v>
      </c>
      <c r="D15" s="17"/>
      <c r="E15" s="18"/>
    </row>
  </sheetData>
  <autoFilter ref="A1:E15" xr:uid="{00000000-0009-0000-0000-000001000000}"/>
  <dataValidations count="1">
    <dataValidation type="list" allowBlank="1" errorTitle="Invalid Status" error="Please select a valid status from the list" sqref="C2:C100" xr:uid="{00000000-0002-0000-0100-000000000000}">
      <formula1>"Not Started,In Progress,Completed,Needs 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 Center</vt:lpstr>
      <vt:lpstr>Readiness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2026-09-20T11:33:05Z</dcterms:created>
  <dcterms:modified xsi:type="dcterms:W3CDTF">2026-09-20T11:33:06Z</dcterms:modified>
</cp:coreProperties>
</file>
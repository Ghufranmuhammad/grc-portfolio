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1EE2AD66-8DEA-0348-B19F-37E96008B9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Applications" sheetId="2" r:id="rId2"/>
  </sheets>
  <definedNames>
    <definedName name="_xlnm._FilterDatabase" localSheetId="1" hidden="1">Applications!$A$1:$W$100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9" i="1"/>
  <c r="C20" i="1"/>
  <c r="C21" i="1"/>
  <c r="C22" i="1"/>
  <c r="K6" i="1"/>
  <c r="H6" i="1"/>
  <c r="E6" i="1"/>
  <c r="B6" i="1"/>
</calcChain>
</file>

<file path=xl/sharedStrings.xml><?xml version="1.0" encoding="utf-8"?>
<sst xmlns="http://schemas.openxmlformats.org/spreadsheetml/2006/main" count="211" uniqueCount="179">
  <si>
    <t>Job Application Command Center</t>
  </si>
  <si>
    <t>Overview of job search pipeline, active applications, and metrics.</t>
  </si>
  <si>
    <t>Total Applications</t>
  </si>
  <si>
    <t>Active Interviews</t>
  </si>
  <si>
    <t>Offers Received</t>
  </si>
  <si>
    <t>Rejection Rate</t>
  </si>
  <si>
    <t>Pipeline Breakdown by Status</t>
  </si>
  <si>
    <t>Status</t>
  </si>
  <si>
    <t>Count</t>
  </si>
  <si>
    <t>Saved</t>
  </si>
  <si>
    <t>Ready to Apply</t>
  </si>
  <si>
    <t>Applied</t>
  </si>
  <si>
    <t>Recruiter Contacted</t>
  </si>
  <si>
    <t>Screening</t>
  </si>
  <si>
    <t>Interview</t>
  </si>
  <si>
    <t>Assessment</t>
  </si>
  <si>
    <t>Offer</t>
  </si>
  <si>
    <t>Rejected</t>
  </si>
  <si>
    <t>Withdrawn</t>
  </si>
  <si>
    <t>Application ID</t>
  </si>
  <si>
    <t>Date Found</t>
  </si>
  <si>
    <t>Company</t>
  </si>
  <si>
    <t>Job Title</t>
  </si>
  <si>
    <t>Location</t>
  </si>
  <si>
    <t>Job URL</t>
  </si>
  <si>
    <t>Source</t>
  </si>
  <si>
    <t>Role Category</t>
  </si>
  <si>
    <t>Experience Required</t>
  </si>
  <si>
    <t>Education Required</t>
  </si>
  <si>
    <t>Key Skills</t>
  </si>
  <si>
    <t>Frameworks Mentioned</t>
  </si>
  <si>
    <t>Certification Requirements</t>
  </si>
  <si>
    <t>Salary Listed?</t>
  </si>
  <si>
    <t>Application Status</t>
  </si>
  <si>
    <t>Date Applied</t>
  </si>
  <si>
    <t>Follow-Up Date</t>
  </si>
  <si>
    <t>Recruiter Contact</t>
  </si>
  <si>
    <t>Interview Stage</t>
  </si>
  <si>
    <t>Result</t>
  </si>
  <si>
    <t>Rejection Reason</t>
  </si>
  <si>
    <t>Next Action</t>
  </si>
  <si>
    <t>Notes</t>
  </si>
  <si>
    <t>APP-001</t>
  </si>
  <si>
    <t>2026-06-01</t>
  </si>
  <si>
    <t>TechCorp Inc.</t>
  </si>
  <si>
    <t>Senior Software Engineer</t>
  </si>
  <si>
    <t>San Francisco, CA</t>
  </si>
  <si>
    <t>https://example.com/job1</t>
  </si>
  <si>
    <t>LinkedIn</t>
  </si>
  <si>
    <t>Backend</t>
  </si>
  <si>
    <t>5+ years</t>
  </si>
  <si>
    <t>B.S. Computer Science</t>
  </si>
  <si>
    <t>Python, SQL, AWS</t>
  </si>
  <si>
    <t>FastAPI, Django</t>
  </si>
  <si>
    <t>AWS Certified Developer</t>
  </si>
  <si>
    <t>Yes ($160k-$190k)</t>
  </si>
  <si>
    <t>2026-06-02</t>
  </si>
  <si>
    <t>Jane Doe (jane@techcorp.com)</t>
  </si>
  <si>
    <t>Final Round</t>
  </si>
  <si>
    <t>Accepted</t>
  </si>
  <si>
    <t>Review offer details</t>
  </si>
  <si>
    <t>Great culture fit</t>
  </si>
  <si>
    <t>APP-002</t>
  </si>
  <si>
    <t>2026-06-03</t>
  </si>
  <si>
    <t>DataStream AI</t>
  </si>
  <si>
    <t>ML Engineer</t>
  </si>
  <si>
    <t>New York, NY</t>
  </si>
  <si>
    <t>https://example.com/job2</t>
  </si>
  <si>
    <t>Referral</t>
  </si>
  <si>
    <t>AI/ML</t>
  </si>
  <si>
    <t>3+ years</t>
  </si>
  <si>
    <t>M.S. in AI/Stats</t>
  </si>
  <si>
    <t>Python, PyTorch, CUDA</t>
  </si>
  <si>
    <t>PyTorch, LangChain</t>
  </si>
  <si>
    <t>None</t>
  </si>
  <si>
    <t>Yes ($180k)</t>
  </si>
  <si>
    <t>2026-06-04</t>
  </si>
  <si>
    <t>2026-06-25</t>
  </si>
  <si>
    <t>Mark Smith</t>
  </si>
  <si>
    <t>Technical Screen</t>
  </si>
  <si>
    <t>Pending</t>
  </si>
  <si>
    <t>Prepare system design case study</t>
  </si>
  <si>
    <t>Fast growing startup</t>
  </si>
  <si>
    <t>APP-003</t>
  </si>
  <si>
    <t>2026-06-05</t>
  </si>
  <si>
    <t>CloudScale</t>
  </si>
  <si>
    <t>DevOps Specialist</t>
  </si>
  <si>
    <t>Remote</t>
  </si>
  <si>
    <t>https://example.com/job3</t>
  </si>
  <si>
    <t>Company Website</t>
  </si>
  <si>
    <t>Infrastructure</t>
  </si>
  <si>
    <t>4+ years</t>
  </si>
  <si>
    <t>B.S. Engineering</t>
  </si>
  <si>
    <t>Terraform, Kubernetes, Go</t>
  </si>
  <si>
    <t>Docker, K8s</t>
  </si>
  <si>
    <t>CKA</t>
  </si>
  <si>
    <t>No</t>
  </si>
  <si>
    <t>2026-06-06</t>
  </si>
  <si>
    <t>2026-06-20</t>
  </si>
  <si>
    <t>Follow up with recruiter</t>
  </si>
  <si>
    <t>Strong remote policy</t>
  </si>
  <si>
    <t>APP-004</t>
  </si>
  <si>
    <t>2026-06-08</t>
  </si>
  <si>
    <t>FinTech Global</t>
  </si>
  <si>
    <t>Backend Developer</t>
  </si>
  <si>
    <t>Chicago, IL</t>
  </si>
  <si>
    <t>https://example.com/job4</t>
  </si>
  <si>
    <t>Indeed</t>
  </si>
  <si>
    <t>2+ years</t>
  </si>
  <si>
    <t>B.S.</t>
  </si>
  <si>
    <t>Java, Spring Boot, SQL</t>
  </si>
  <si>
    <t>Spring</t>
  </si>
  <si>
    <t>Yes ($130k)</t>
  </si>
  <si>
    <t>2026-06-09</t>
  </si>
  <si>
    <t>2026-06-18</t>
  </si>
  <si>
    <t>HR Team</t>
  </si>
  <si>
    <t>HR Screening</t>
  </si>
  <si>
    <t>Complete recruiter call</t>
  </si>
  <si>
    <t>Strict hybrid schedule</t>
  </si>
  <si>
    <t>APP-005</t>
  </si>
  <si>
    <t>2026-06-10</t>
  </si>
  <si>
    <t>HealthTech Solutions</t>
  </si>
  <si>
    <t>Full Stack Engineer</t>
  </si>
  <si>
    <t>Boston, MA</t>
  </si>
  <si>
    <t>https://example.com/job5</t>
  </si>
  <si>
    <t>Full Stack</t>
  </si>
  <si>
    <t>TypeScript, React, Node.js</t>
  </si>
  <si>
    <t>React, Express</t>
  </si>
  <si>
    <t>Yes ($140k)</t>
  </si>
  <si>
    <t>2026-06-11</t>
  </si>
  <si>
    <t>Recruiting Dept</t>
  </si>
  <si>
    <t>Experience mismatch</t>
  </si>
  <si>
    <t>Archive</t>
  </si>
  <si>
    <t>Feedback was positive on code</t>
  </si>
  <si>
    <t>APP-006</t>
  </si>
  <si>
    <t>2026-06-12</t>
  </si>
  <si>
    <t>CyberShield</t>
  </si>
  <si>
    <t>Security Engineer</t>
  </si>
  <si>
    <t>Austin, TX</t>
  </si>
  <si>
    <t>https://example.com/job6</t>
  </si>
  <si>
    <t>Wellfound</t>
  </si>
  <si>
    <t>Security</t>
  </si>
  <si>
    <t>Python, Networking, IAM</t>
  </si>
  <si>
    <t>Flask</t>
  </si>
  <si>
    <t>CISSP</t>
  </si>
  <si>
    <t>Yes ($170k)</t>
  </si>
  <si>
    <t>Tailor resume and submit</t>
  </si>
  <si>
    <t>High priority target</t>
  </si>
  <si>
    <t>APP-007</t>
  </si>
  <si>
    <t>2026-06-14</t>
  </si>
  <si>
    <t>NextGen Retail</t>
  </si>
  <si>
    <t>Data Engineer</t>
  </si>
  <si>
    <t>Seattle, WA</t>
  </si>
  <si>
    <t>https://example.com/job7</t>
  </si>
  <si>
    <t>Data</t>
  </si>
  <si>
    <t>SQL, Spark, Python</t>
  </si>
  <si>
    <t>Airflow, Spark</t>
  </si>
  <si>
    <t>Yes ($155k)</t>
  </si>
  <si>
    <t>Check referral network</t>
  </si>
  <si>
    <t>Interesting retail analytics space</t>
  </si>
  <si>
    <t>APP-008</t>
  </si>
  <si>
    <t>2026-06-15</t>
  </si>
  <si>
    <t>Apex Software</t>
  </si>
  <si>
    <t>Software Architect</t>
  </si>
  <si>
    <t>https://example.com/job8</t>
  </si>
  <si>
    <t>Direct</t>
  </si>
  <si>
    <t>Architecture</t>
  </si>
  <si>
    <t>8+ years</t>
  </si>
  <si>
    <t>B.S./M.S.</t>
  </si>
  <si>
    <t>System Design, Cloud, Java</t>
  </si>
  <si>
    <t>Spring Cloud</t>
  </si>
  <si>
    <t>AWS Solutions Architect</t>
  </si>
  <si>
    <t>Yes ($210k)</t>
  </si>
  <si>
    <t>2026-06-16</t>
  </si>
  <si>
    <t>2026-06-22</t>
  </si>
  <si>
    <t>Tech Lead</t>
  </si>
  <si>
    <t>Take-home Assessment</t>
  </si>
  <si>
    <t>Submit architecture diagram</t>
  </si>
  <si>
    <t>Challenging take-home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</si>
</sst>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A252C"/>
      <name val="Segoe UI"/>
    </font>
    <font>
      <i/>
      <sz val="10"/>
      <color rgb="FF5A6B74"/>
      <name val="Segoe UI"/>
    </font>
    <font>
      <b/>
      <sz val="10"/>
      <color rgb="FF5A6B74"/>
      <name val="Segoe UI"/>
    </font>
    <font>
      <b/>
      <sz val="18"/>
      <color rgb="FF2F3E46"/>
      <name val="Segoe UI"/>
    </font>
    <font>
      <b/>
      <sz val="12"/>
      <color rgb="FF1A252C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F3E46"/>
        <bgColor rgb="FF2F3E46"/>
      </patternFill>
    </fill>
    <fill>
      <patternFill patternType="solid">
        <fgColor rgb="FFF7F9FA"/>
        <bgColor rgb="FFF7F9FA"/>
      </patternFill>
    </fill>
    <fill>
      <patternFill patternType="solid">
        <fgColor rgb="FFFFFFFF"/>
        <bgColor rgb="FFFFFFFF"/>
      </patternFill>
    </fill>
    <fill>
      <patternFill patternType="solid">
        <fgColor rgb="FFEAEEF1"/>
        <bgColor rgb="FFEAEE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Application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Dashboard!$B$12:$B$21</c:f>
              <c:strCache>
                <c:ptCount val="10"/>
                <c:pt idx="0">
                  <c:v>Saved</c:v>
                </c:pt>
                <c:pt idx="1">
                  <c:v>Ready to Apply</c:v>
                </c:pt>
                <c:pt idx="2">
                  <c:v>Applied</c:v>
                </c:pt>
                <c:pt idx="3">
                  <c:v>Recruiter Contacted</c:v>
                </c:pt>
                <c:pt idx="4">
                  <c:v>Screening</c:v>
                </c:pt>
                <c:pt idx="5">
                  <c:v>Interview</c:v>
                </c:pt>
                <c:pt idx="6">
                  <c:v>Assessment</c:v>
                </c:pt>
                <c:pt idx="7">
                  <c:v>Offer</c:v>
                </c:pt>
                <c:pt idx="8">
                  <c:v>Rejected</c:v>
                </c:pt>
                <c:pt idx="9">
                  <c:v>Withdrawn</c:v>
                </c:pt>
              </c:strCache>
            </c:strRef>
          </c:cat>
          <c:val>
            <c:numRef>
              <c:f>Dashboard!$C$12:$C$21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3-CF4B-AF47-47686768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Applications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tabSelected="1" topLeftCell="J1" workbookViewId="0"/>
  </sheetViews>
  <sheetFormatPr defaultRowHeight="15" x14ac:dyDescent="0.2"/>
  <cols>
    <col min="1" max="1" width="4.03515625" customWidth="1"/>
    <col min="2" max="2" width="22.05859375" customWidth="1"/>
    <col min="3" max="3" width="11.97265625" customWidth="1"/>
    <col min="4" max="4" width="4.03515625" customWidth="1"/>
    <col min="5" max="5" width="20.984375" customWidth="1"/>
    <col min="6" max="7" width="11.97265625" customWidth="1"/>
    <col min="8" max="8" width="18.96484375" customWidth="1"/>
    <col min="9" max="10" width="11.97265625" customWidth="1"/>
    <col min="11" max="11" width="18.0234375" customWidth="1"/>
    <col min="12" max="13" width="11.97265625" customWidth="1"/>
  </cols>
  <sheetData>
    <row r="2" spans="2:13" ht="23.25" x14ac:dyDescent="0.35">
      <c r="B2" s="1" t="s">
        <v>0</v>
      </c>
    </row>
    <row r="3" spans="2:13" x14ac:dyDescent="0.2">
      <c r="B3" s="2" t="s">
        <v>1</v>
      </c>
    </row>
    <row r="5" spans="2:13" x14ac:dyDescent="0.2">
      <c r="B5" s="19" t="s">
        <v>2</v>
      </c>
      <c r="C5" s="18"/>
      <c r="D5" s="18"/>
      <c r="E5" s="19" t="s">
        <v>3</v>
      </c>
      <c r="F5" s="18"/>
      <c r="G5" s="18"/>
      <c r="H5" s="19" t="s">
        <v>4</v>
      </c>
      <c r="I5" s="18"/>
      <c r="J5" s="18"/>
      <c r="K5" s="19" t="s">
        <v>5</v>
      </c>
      <c r="L5" s="18"/>
      <c r="M5" s="18"/>
    </row>
    <row r="6" spans="2:13" x14ac:dyDescent="0.2">
      <c r="B6" s="17">
        <f>COUNTA(Applications!A2:A100)</f>
        <v>8</v>
      </c>
      <c r="C6" s="18"/>
      <c r="D6" s="18"/>
      <c r="E6" s="17">
        <f>COUNTIF(Applications!O2:O100, "Interview") + COUNTIF(Applications!O2:O100, "Assessment") + COUNTIF(Applications!O2:O100, "Screening")</f>
        <v>3</v>
      </c>
      <c r="F6" s="18"/>
      <c r="G6" s="18"/>
      <c r="H6" s="17">
        <f>COUNTIF(Applications!O2:O100, "Offer")</f>
        <v>1</v>
      </c>
      <c r="I6" s="18"/>
      <c r="J6" s="18"/>
      <c r="K6" s="20">
        <f>IF(COUNTA(Applications!A2:A100)&gt;0, COUNTIF(Applications!O2:O100, "Rejected")/COUNTA(Applications!A2:A100), 0)</f>
        <v>0.125</v>
      </c>
      <c r="L6" s="18"/>
      <c r="M6" s="18"/>
    </row>
    <row r="7" spans="2:13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10" spans="2:13" ht="17.25" x14ac:dyDescent="0.25">
      <c r="B10" s="3" t="s">
        <v>6</v>
      </c>
    </row>
    <row r="11" spans="2:13" ht="24" customHeight="1" x14ac:dyDescent="0.2">
      <c r="B11" s="4" t="s">
        <v>7</v>
      </c>
      <c r="C11" s="5" t="s">
        <v>8</v>
      </c>
    </row>
    <row r="12" spans="2:13" ht="20.100000000000001" customHeight="1" x14ac:dyDescent="0.2">
      <c r="B12" s="6" t="s">
        <v>9</v>
      </c>
      <c r="C12" s="7">
        <f>COUNTIF(Applications!O2:O100, B12)</f>
        <v>1</v>
      </c>
    </row>
    <row r="13" spans="2:13" ht="20.100000000000001" customHeight="1" x14ac:dyDescent="0.2">
      <c r="B13" s="8" t="s">
        <v>10</v>
      </c>
      <c r="C13" s="9">
        <f>COUNTIF(Applications!O2:O100, B13)</f>
        <v>1</v>
      </c>
    </row>
    <row r="14" spans="2:13" ht="20.100000000000001" customHeight="1" x14ac:dyDescent="0.2">
      <c r="B14" s="6" t="s">
        <v>11</v>
      </c>
      <c r="C14" s="7">
        <f>COUNTIF(Applications!O2:O100, B14)</f>
        <v>1</v>
      </c>
    </row>
    <row r="15" spans="2:13" ht="20.100000000000001" customHeight="1" x14ac:dyDescent="0.2">
      <c r="B15" s="8" t="s">
        <v>12</v>
      </c>
      <c r="C15" s="9">
        <f>COUNTIF(Applications!O2:O100, B15)</f>
        <v>0</v>
      </c>
    </row>
    <row r="16" spans="2:13" ht="20.100000000000001" customHeight="1" x14ac:dyDescent="0.2">
      <c r="B16" s="6" t="s">
        <v>13</v>
      </c>
      <c r="C16" s="7">
        <f>COUNTIF(Applications!O2:O100, B16)</f>
        <v>1</v>
      </c>
    </row>
    <row r="17" spans="2:3" ht="20.100000000000001" customHeight="1" x14ac:dyDescent="0.2">
      <c r="B17" s="8" t="s">
        <v>14</v>
      </c>
      <c r="C17" s="9">
        <f>COUNTIF(Applications!O2:O100, B17)</f>
        <v>1</v>
      </c>
    </row>
    <row r="18" spans="2:3" ht="20.100000000000001" customHeight="1" x14ac:dyDescent="0.2">
      <c r="B18" s="6" t="s">
        <v>15</v>
      </c>
      <c r="C18" s="7">
        <f>COUNTIF(Applications!O2:O100, B18)</f>
        <v>1</v>
      </c>
    </row>
    <row r="19" spans="2:3" ht="20.100000000000001" customHeight="1" x14ac:dyDescent="0.2">
      <c r="B19" s="8" t="s">
        <v>16</v>
      </c>
      <c r="C19" s="9">
        <f>COUNTIF(Applications!O2:O100, B19)</f>
        <v>1</v>
      </c>
    </row>
    <row r="20" spans="2:3" ht="20.100000000000001" customHeight="1" x14ac:dyDescent="0.2">
      <c r="B20" s="6" t="s">
        <v>17</v>
      </c>
      <c r="C20" s="7">
        <f>COUNTIF(Applications!O2:O100, B20)</f>
        <v>1</v>
      </c>
    </row>
    <row r="21" spans="2:3" ht="20.100000000000001" customHeight="1" x14ac:dyDescent="0.2">
      <c r="B21" s="8" t="s">
        <v>18</v>
      </c>
      <c r="C21" s="9">
        <f>COUNTIF(Applications!O2:O100, B21)</f>
        <v>0</v>
      </c>
    </row>
    <row r="22" spans="2:3" ht="21.95" customHeight="1" x14ac:dyDescent="0.2">
      <c r="B22" s="10" t="s">
        <v>2</v>
      </c>
      <c r="C22" s="11">
        <f>SUM(C12:C21)</f>
        <v>8</v>
      </c>
    </row>
  </sheetData>
  <mergeCells count="8">
    <mergeCell ref="K5:M5"/>
    <mergeCell ref="H5:J5"/>
    <mergeCell ref="K6:M7"/>
    <mergeCell ref="E6:G7"/>
    <mergeCell ref="H6:J7"/>
    <mergeCell ref="B5:D5"/>
    <mergeCell ref="B6:D7"/>
    <mergeCell ref="E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workbookViewId="0">
      <pane xSplit="2" ySplit="1" topLeftCell="C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6.0078125" customWidth="1"/>
    <col min="2" max="2" width="13.98828125" customWidth="1"/>
    <col min="3" max="3" width="23.9453125" customWidth="1"/>
    <col min="4" max="4" width="27.98046875" customWidth="1"/>
    <col min="5" max="5" width="20.984375" customWidth="1"/>
    <col min="6" max="6" width="22.05859375" customWidth="1"/>
    <col min="7" max="7" width="18.96484375" customWidth="1"/>
    <col min="8" max="8" width="18.0234375" customWidth="1"/>
    <col min="9" max="9" width="23" customWidth="1"/>
    <col min="10" max="10" width="25.01953125" customWidth="1"/>
    <col min="11" max="11" width="29.99609375" customWidth="1"/>
    <col min="12" max="12" width="23.9453125" customWidth="1"/>
    <col min="13" max="13" width="29.99609375" customWidth="1"/>
    <col min="14" max="14" width="20.984375" customWidth="1"/>
    <col min="15" max="15" width="22.05859375" customWidth="1"/>
    <col min="16" max="16" width="16.0078125" customWidth="1"/>
    <col min="17" max="17" width="18.0234375" customWidth="1"/>
    <col min="18" max="18" width="25.01953125" customWidth="1"/>
    <col min="19" max="19" width="23.9453125" customWidth="1"/>
    <col min="20" max="20" width="11.97265625" customWidth="1"/>
    <col min="21" max="21" width="23" customWidth="1"/>
    <col min="22" max="22" width="36.05078125" customWidth="1"/>
    <col min="23" max="24" width="25.01953125" customWidth="1"/>
  </cols>
  <sheetData>
    <row r="1" spans="1:23" ht="27.95" customHeight="1" x14ac:dyDescent="0.25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12" t="s">
        <v>35</v>
      </c>
      <c r="R1" s="12" t="s">
        <v>36</v>
      </c>
      <c r="S1" s="12" t="s">
        <v>37</v>
      </c>
      <c r="T1" s="12" t="s">
        <v>38</v>
      </c>
      <c r="U1" s="12" t="s">
        <v>39</v>
      </c>
      <c r="V1" s="12" t="s">
        <v>40</v>
      </c>
      <c r="W1" s="12" t="s">
        <v>41</v>
      </c>
    </row>
    <row r="2" spans="1:23" ht="20.100000000000001" customHeight="1" x14ac:dyDescent="0.2">
      <c r="A2" s="13" t="s">
        <v>42</v>
      </c>
      <c r="B2" s="13" t="s">
        <v>43</v>
      </c>
      <c r="C2" s="14" t="s">
        <v>44</v>
      </c>
      <c r="D2" s="14" t="s">
        <v>45</v>
      </c>
      <c r="E2" s="14" t="s">
        <v>46</v>
      </c>
      <c r="F2" s="14" t="s">
        <v>47</v>
      </c>
      <c r="G2" s="14" t="s">
        <v>48</v>
      </c>
      <c r="H2" s="14" t="s">
        <v>49</v>
      </c>
      <c r="I2" s="14" t="s">
        <v>50</v>
      </c>
      <c r="J2" s="14" t="s">
        <v>51</v>
      </c>
      <c r="K2" s="14" t="s">
        <v>52</v>
      </c>
      <c r="L2" s="14" t="s">
        <v>53</v>
      </c>
      <c r="M2" s="14" t="s">
        <v>54</v>
      </c>
      <c r="N2" s="13" t="s">
        <v>55</v>
      </c>
      <c r="O2" s="13" t="s">
        <v>16</v>
      </c>
      <c r="P2" s="13" t="s">
        <v>56</v>
      </c>
      <c r="Q2" s="13"/>
      <c r="R2" s="14" t="s">
        <v>57</v>
      </c>
      <c r="S2" s="13" t="s">
        <v>58</v>
      </c>
      <c r="T2" s="13" t="s">
        <v>59</v>
      </c>
      <c r="U2" s="14"/>
      <c r="V2" s="14" t="s">
        <v>60</v>
      </c>
      <c r="W2" s="14" t="s">
        <v>61</v>
      </c>
    </row>
    <row r="3" spans="1:23" ht="20.100000000000001" customHeight="1" x14ac:dyDescent="0.2">
      <c r="A3" s="15" t="s">
        <v>62</v>
      </c>
      <c r="B3" s="15" t="s">
        <v>63</v>
      </c>
      <c r="C3" s="16" t="s">
        <v>64</v>
      </c>
      <c r="D3" s="16" t="s">
        <v>65</v>
      </c>
      <c r="E3" s="16" t="s">
        <v>66</v>
      </c>
      <c r="F3" s="16" t="s">
        <v>67</v>
      </c>
      <c r="G3" s="16" t="s">
        <v>68</v>
      </c>
      <c r="H3" s="16" t="s">
        <v>69</v>
      </c>
      <c r="I3" s="16" t="s">
        <v>70</v>
      </c>
      <c r="J3" s="16" t="s">
        <v>71</v>
      </c>
      <c r="K3" s="16" t="s">
        <v>72</v>
      </c>
      <c r="L3" s="16" t="s">
        <v>73</v>
      </c>
      <c r="M3" s="16" t="s">
        <v>74</v>
      </c>
      <c r="N3" s="15" t="s">
        <v>75</v>
      </c>
      <c r="O3" s="15" t="s">
        <v>14</v>
      </c>
      <c r="P3" s="15" t="s">
        <v>76</v>
      </c>
      <c r="Q3" s="15" t="s">
        <v>77</v>
      </c>
      <c r="R3" s="16" t="s">
        <v>78</v>
      </c>
      <c r="S3" s="15" t="s">
        <v>79</v>
      </c>
      <c r="T3" s="15" t="s">
        <v>80</v>
      </c>
      <c r="U3" s="16"/>
      <c r="V3" s="16" t="s">
        <v>81</v>
      </c>
      <c r="W3" s="16" t="s">
        <v>82</v>
      </c>
    </row>
    <row r="4" spans="1:23" ht="20.100000000000001" customHeight="1" x14ac:dyDescent="0.2">
      <c r="A4" s="13" t="s">
        <v>83</v>
      </c>
      <c r="B4" s="13" t="s">
        <v>84</v>
      </c>
      <c r="C4" s="14" t="s">
        <v>85</v>
      </c>
      <c r="D4" s="14" t="s">
        <v>86</v>
      </c>
      <c r="E4" s="14" t="s">
        <v>87</v>
      </c>
      <c r="F4" s="14" t="s">
        <v>88</v>
      </c>
      <c r="G4" s="14" t="s">
        <v>89</v>
      </c>
      <c r="H4" s="14" t="s">
        <v>90</v>
      </c>
      <c r="I4" s="14" t="s">
        <v>91</v>
      </c>
      <c r="J4" s="14" t="s">
        <v>92</v>
      </c>
      <c r="K4" s="14" t="s">
        <v>93</v>
      </c>
      <c r="L4" s="14" t="s">
        <v>94</v>
      </c>
      <c r="M4" s="14" t="s">
        <v>95</v>
      </c>
      <c r="N4" s="13" t="s">
        <v>96</v>
      </c>
      <c r="O4" s="13" t="s">
        <v>11</v>
      </c>
      <c r="P4" s="13" t="s">
        <v>97</v>
      </c>
      <c r="Q4" s="13" t="s">
        <v>98</v>
      </c>
      <c r="R4" s="14"/>
      <c r="S4" s="13" t="s">
        <v>74</v>
      </c>
      <c r="T4" s="13" t="s">
        <v>80</v>
      </c>
      <c r="U4" s="14"/>
      <c r="V4" s="14" t="s">
        <v>99</v>
      </c>
      <c r="W4" s="14" t="s">
        <v>100</v>
      </c>
    </row>
    <row r="5" spans="1:23" ht="20.100000000000001" customHeight="1" x14ac:dyDescent="0.2">
      <c r="A5" s="15" t="s">
        <v>101</v>
      </c>
      <c r="B5" s="15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6" t="s">
        <v>107</v>
      </c>
      <c r="H5" s="16" t="s">
        <v>49</v>
      </c>
      <c r="I5" s="16" t="s">
        <v>108</v>
      </c>
      <c r="J5" s="16" t="s">
        <v>109</v>
      </c>
      <c r="K5" s="16" t="s">
        <v>110</v>
      </c>
      <c r="L5" s="16" t="s">
        <v>111</v>
      </c>
      <c r="M5" s="16" t="s">
        <v>74</v>
      </c>
      <c r="N5" s="15" t="s">
        <v>112</v>
      </c>
      <c r="O5" s="15" t="s">
        <v>13</v>
      </c>
      <c r="P5" s="15" t="s">
        <v>113</v>
      </c>
      <c r="Q5" s="15" t="s">
        <v>114</v>
      </c>
      <c r="R5" s="16" t="s">
        <v>115</v>
      </c>
      <c r="S5" s="15" t="s">
        <v>116</v>
      </c>
      <c r="T5" s="15" t="s">
        <v>80</v>
      </c>
      <c r="U5" s="16"/>
      <c r="V5" s="16" t="s">
        <v>117</v>
      </c>
      <c r="W5" s="16" t="s">
        <v>118</v>
      </c>
    </row>
    <row r="6" spans="1:23" ht="20.100000000000001" customHeight="1" x14ac:dyDescent="0.2">
      <c r="A6" s="13" t="s">
        <v>119</v>
      </c>
      <c r="B6" s="13" t="s">
        <v>120</v>
      </c>
      <c r="C6" s="14" t="s">
        <v>121</v>
      </c>
      <c r="D6" s="14" t="s">
        <v>122</v>
      </c>
      <c r="E6" s="14" t="s">
        <v>123</v>
      </c>
      <c r="F6" s="14" t="s">
        <v>124</v>
      </c>
      <c r="G6" s="14" t="s">
        <v>48</v>
      </c>
      <c r="H6" s="14" t="s">
        <v>125</v>
      </c>
      <c r="I6" s="14" t="s">
        <v>70</v>
      </c>
      <c r="J6" s="14" t="s">
        <v>109</v>
      </c>
      <c r="K6" s="14" t="s">
        <v>126</v>
      </c>
      <c r="L6" s="14" t="s">
        <v>127</v>
      </c>
      <c r="M6" s="14" t="s">
        <v>74</v>
      </c>
      <c r="N6" s="13" t="s">
        <v>128</v>
      </c>
      <c r="O6" s="13" t="s">
        <v>17</v>
      </c>
      <c r="P6" s="13" t="s">
        <v>129</v>
      </c>
      <c r="Q6" s="13"/>
      <c r="R6" s="14" t="s">
        <v>130</v>
      </c>
      <c r="S6" s="13" t="s">
        <v>15</v>
      </c>
      <c r="T6" s="13" t="s">
        <v>17</v>
      </c>
      <c r="U6" s="14" t="s">
        <v>131</v>
      </c>
      <c r="V6" s="14" t="s">
        <v>132</v>
      </c>
      <c r="W6" s="14" t="s">
        <v>133</v>
      </c>
    </row>
    <row r="7" spans="1:23" ht="20.100000000000001" customHeight="1" x14ac:dyDescent="0.2">
      <c r="A7" s="15" t="s">
        <v>134</v>
      </c>
      <c r="B7" s="15" t="s">
        <v>135</v>
      </c>
      <c r="C7" s="16" t="s">
        <v>136</v>
      </c>
      <c r="D7" s="16" t="s">
        <v>137</v>
      </c>
      <c r="E7" s="16" t="s">
        <v>138</v>
      </c>
      <c r="F7" s="16" t="s">
        <v>139</v>
      </c>
      <c r="G7" s="16" t="s">
        <v>140</v>
      </c>
      <c r="H7" s="16" t="s">
        <v>141</v>
      </c>
      <c r="I7" s="16" t="s">
        <v>50</v>
      </c>
      <c r="J7" s="16" t="s">
        <v>109</v>
      </c>
      <c r="K7" s="16" t="s">
        <v>142</v>
      </c>
      <c r="L7" s="16" t="s">
        <v>143</v>
      </c>
      <c r="M7" s="16" t="s">
        <v>144</v>
      </c>
      <c r="N7" s="15" t="s">
        <v>145</v>
      </c>
      <c r="O7" s="15" t="s">
        <v>10</v>
      </c>
      <c r="P7" s="15"/>
      <c r="Q7" s="15"/>
      <c r="R7" s="16"/>
      <c r="S7" s="15" t="s">
        <v>74</v>
      </c>
      <c r="T7" s="15" t="s">
        <v>80</v>
      </c>
      <c r="U7" s="16"/>
      <c r="V7" s="16" t="s">
        <v>146</v>
      </c>
      <c r="W7" s="16" t="s">
        <v>147</v>
      </c>
    </row>
    <row r="8" spans="1:23" ht="20.100000000000001" customHeight="1" x14ac:dyDescent="0.2">
      <c r="A8" s="13" t="s">
        <v>148</v>
      </c>
      <c r="B8" s="13" t="s">
        <v>149</v>
      </c>
      <c r="C8" s="14" t="s">
        <v>150</v>
      </c>
      <c r="D8" s="14" t="s">
        <v>151</v>
      </c>
      <c r="E8" s="14" t="s">
        <v>152</v>
      </c>
      <c r="F8" s="14" t="s">
        <v>153</v>
      </c>
      <c r="G8" s="14" t="s">
        <v>48</v>
      </c>
      <c r="H8" s="14" t="s">
        <v>154</v>
      </c>
      <c r="I8" s="14" t="s">
        <v>91</v>
      </c>
      <c r="J8" s="14" t="s">
        <v>109</v>
      </c>
      <c r="K8" s="14" t="s">
        <v>155</v>
      </c>
      <c r="L8" s="14" t="s">
        <v>156</v>
      </c>
      <c r="M8" s="14" t="s">
        <v>74</v>
      </c>
      <c r="N8" s="13" t="s">
        <v>157</v>
      </c>
      <c r="O8" s="13" t="s">
        <v>9</v>
      </c>
      <c r="P8" s="13"/>
      <c r="Q8" s="13"/>
      <c r="R8" s="14"/>
      <c r="S8" s="13" t="s">
        <v>74</v>
      </c>
      <c r="T8" s="13" t="s">
        <v>80</v>
      </c>
      <c r="U8" s="14"/>
      <c r="V8" s="14" t="s">
        <v>158</v>
      </c>
      <c r="W8" s="14" t="s">
        <v>159</v>
      </c>
    </row>
    <row r="9" spans="1:23" ht="20.100000000000001" customHeight="1" x14ac:dyDescent="0.2">
      <c r="A9" s="15" t="s">
        <v>160</v>
      </c>
      <c r="B9" s="15" t="s">
        <v>161</v>
      </c>
      <c r="C9" s="16" t="s">
        <v>162</v>
      </c>
      <c r="D9" s="16" t="s">
        <v>163</v>
      </c>
      <c r="E9" s="16" t="s">
        <v>87</v>
      </c>
      <c r="F9" s="16" t="s">
        <v>164</v>
      </c>
      <c r="G9" s="16" t="s">
        <v>165</v>
      </c>
      <c r="H9" s="16" t="s">
        <v>166</v>
      </c>
      <c r="I9" s="16" t="s">
        <v>167</v>
      </c>
      <c r="J9" s="16" t="s">
        <v>168</v>
      </c>
      <c r="K9" s="16" t="s">
        <v>169</v>
      </c>
      <c r="L9" s="16" t="s">
        <v>170</v>
      </c>
      <c r="M9" s="16" t="s">
        <v>171</v>
      </c>
      <c r="N9" s="15" t="s">
        <v>172</v>
      </c>
      <c r="O9" s="15" t="s">
        <v>15</v>
      </c>
      <c r="P9" s="15" t="s">
        <v>173</v>
      </c>
      <c r="Q9" s="15" t="s">
        <v>174</v>
      </c>
      <c r="R9" s="16" t="s">
        <v>175</v>
      </c>
      <c r="S9" s="15" t="s">
        <v>176</v>
      </c>
      <c r="T9" s="15" t="s">
        <v>80</v>
      </c>
      <c r="U9" s="16"/>
      <c r="V9" s="16" t="s">
        <v>177</v>
      </c>
      <c r="W9" s="16" t="s">
        <v>178</v>
      </c>
    </row>
  </sheetData>
  <autoFilter ref="A1:W100" xr:uid="{00000000-0009-0000-0000-000001000000}"/>
  <dataValidations count="1">
    <dataValidation type="list" allowBlank="1" errorTitle="Invalid Entry" error="Your entry is not in the list" promptTitle="Status Selection" prompt="Please select a status from the list" sqref="O2:O100" xr:uid="{00000000-0002-0000-0100-000000000000}">
      <formula1>"Saved,Ready to Apply,Applied,Recruiter Contacted,Screening,Interview,Assessment,Offer,Rejected,Withdrawn"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2026-09-19T11:56:21Z</dcterms:created>
  <dcterms:modified xsi:type="dcterms:W3CDTF">2026-09-19T11:56:21Z</dcterms:modified>
</cp:coreProperties>
</file>
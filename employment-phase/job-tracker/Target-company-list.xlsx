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xr:revisionPtr revIDLastSave="0" documentId="8_{C008047B-50F4-4F4B-B513-78433F0A36DE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Dashboard" sheetId="1" r:id="rId1"/>
    <sheet name="Target Companies" sheetId="2" r:id="rId2"/>
  </sheets>
  <definedNames>
    <definedName name="_xlnm._FilterDatabase" localSheetId="1" hidden="1">'Target Companies'!$A$1:$K$100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1" l="1"/>
  <c r="C13" i="1"/>
  <c r="C14" i="1"/>
  <c r="C15" i="1"/>
  <c r="C16" i="1"/>
  <c r="C17" i="1"/>
  <c r="C18" i="1"/>
  <c r="C19" i="1"/>
  <c r="C20" i="1"/>
  <c r="K6" i="1"/>
  <c r="H6" i="1"/>
  <c r="E6" i="1"/>
  <c r="B6" i="1"/>
</calcChain>
</file>

<file path=xl/sharedStrings.xml><?xml version="1.0" encoding="utf-8"?>
<sst xmlns="http://schemas.openxmlformats.org/spreadsheetml/2006/main" count="205" uniqueCount="153">
  <si>
    <t>UAE Target Company Intelligence</t>
  </si>
  <si>
    <t>Strategic overview of target employers across UAE sectors for GRC &amp; Cybersecurity roles.</t>
  </si>
  <si>
    <t>Total Target Companies</t>
  </si>
  <si>
    <t>High Priority Targets</t>
  </si>
  <si>
    <t>Sectors Tracked</t>
  </si>
  <si>
    <t>Government / Energy</t>
  </si>
  <si>
    <t>Companies by Target Sector</t>
  </si>
  <si>
    <t>Sector</t>
  </si>
  <si>
    <t>Count</t>
  </si>
  <si>
    <t>Banking / Financial Services</t>
  </si>
  <si>
    <t>Consulting</t>
  </si>
  <si>
    <t>Government / Public Sector</t>
  </si>
  <si>
    <t>Telecom</t>
  </si>
  <si>
    <t>Energy</t>
  </si>
  <si>
    <t>Healthcare</t>
  </si>
  <si>
    <t>Technology</t>
  </si>
  <si>
    <t>Professional Services</t>
  </si>
  <si>
    <t>Company</t>
  </si>
  <si>
    <t>UAE Location</t>
  </si>
  <si>
    <t>Careers URL</t>
  </si>
  <si>
    <t>Relevant GRC Roles</t>
  </si>
  <si>
    <t>Target Department</t>
  </si>
  <si>
    <t>Company Size/Type</t>
  </si>
  <si>
    <t>Why Relevant</t>
  </si>
  <si>
    <t>Priority</t>
  </si>
  <si>
    <t>Last Checked</t>
  </si>
  <si>
    <t>Notes</t>
  </si>
  <si>
    <t>First Abu Dhabi Bank (FAB)</t>
  </si>
  <si>
    <t>Abu Dhabi</t>
  </si>
  <si>
    <t>https://www.bankfab.com/en-ae/about-fab/careers</t>
  </si>
  <si>
    <t>Cybersecurity Analyst, GRC Specialist, Information Security Risk Manager</t>
  </si>
  <si>
    <t>Information Security / Risk</t>
  </si>
  <si>
    <t>Large Enterprise (Banking)</t>
  </si>
  <si>
    <t>Largest bank in UAE with robust cybersecurity and regulatory compliance requirements.</t>
  </si>
  <si>
    <t>High</t>
  </si>
  <si>
    <t>2026-09-01</t>
  </si>
  <si>
    <t>Strong focus on UAE Central Bank compliance frameworks.</t>
  </si>
  <si>
    <t>Emirates NBD</t>
  </si>
  <si>
    <t>Dubai</t>
  </si>
  <si>
    <t>https://www.emiratesnbd.com/en/careers</t>
  </si>
  <si>
    <t>IT Security Officer, Compliance Analyst, Cloud Security Specialist</t>
  </si>
  <si>
    <t>Group Risk &amp; Security</t>
  </si>
  <si>
    <t>Leading regional banking group with extensive digital transformation and cloud adoption.</t>
  </si>
  <si>
    <t>2026-09-02</t>
  </si>
  <si>
    <t>Active cloud migration increases demand for cloud security/GRC.</t>
  </si>
  <si>
    <t>Abu Dhabi Commercial Bank (ADCB)</t>
  </si>
  <si>
    <t>https://www.adcb.com/en/about-us/careers</t>
  </si>
  <si>
    <t>Information Security Risk Analyst, Cyber GRC Officer</t>
  </si>
  <si>
    <t>Risk Management</t>
  </si>
  <si>
    <t>Major UAE domestic bank with strict regulatory oversight and mature security operations.</t>
  </si>
  <si>
    <t>Medium</t>
  </si>
  <si>
    <t>2026-08-28</t>
  </si>
  <si>
    <t>Regularly recruits specialist risk and compliance talent.</t>
  </si>
  <si>
    <t>ADNOC Group</t>
  </si>
  <si>
    <t>https://www.adnoc.ae/en/careers</t>
  </si>
  <si>
    <t>Cyber Security Engineer, OT Security Specialist, GRC Governance Analyst</t>
  </si>
  <si>
    <t>Group IT &amp; Cybersecurity</t>
  </si>
  <si>
    <t>Large Enterprise (Government-linked Energy)</t>
  </si>
  <si>
    <t>Critical national infrastructure with massive investments in industrial cybersecurity and cloud security.</t>
  </si>
  <si>
    <t>2026-09-05</t>
  </si>
  <si>
    <t>High standards for Operational Technology (OT) and IT security compliance.</t>
  </si>
  <si>
    <t>TAQA (Abu Dhabi National Energy Company)</t>
  </si>
  <si>
    <t>https://www.taqa.com/careers</t>
  </si>
  <si>
    <t>Information Security Analyst, Risk &amp; Compliance Specialist</t>
  </si>
  <si>
    <t>Information Security</t>
  </si>
  <si>
    <t>Large Enterprise (Energy)</t>
  </si>
  <si>
    <t>Major integrated utility company operating across power and water generation.</t>
  </si>
  <si>
    <t>2026-08-30</t>
  </si>
  <si>
    <t>Strong emphasis on corporate governance and resilience.</t>
  </si>
  <si>
    <t>Etisalat (e&amp;)</t>
  </si>
  <si>
    <t>https://careers.etisalat.ae/</t>
  </si>
  <si>
    <t>Cyber Security GRC Manager, Cloud Security Engineer, Compliance Auditor</t>
  </si>
  <si>
    <t>Group Cyber Security</t>
  </si>
  <si>
    <t>Large Enterprise (Telecom)</t>
  </si>
  <si>
    <t>Leading telecom and tech conglomerate driving regional digital services.</t>
  </si>
  <si>
    <t>2026-09-03</t>
  </si>
  <si>
    <t>Massive attack surface and regulatory mandates across multiple jurisdictions.</t>
  </si>
  <si>
    <t>du (Emirates Integrated Telecommunications Company)</t>
  </si>
  <si>
    <t>https://careers.du.ae/</t>
  </si>
  <si>
    <t>Information Security Risk Specialist, Cybersecurity Analyst</t>
  </si>
  <si>
    <t>Cyber Security &amp; Risk</t>
  </si>
  <si>
    <t>Major national telecom provider with critical infrastructure and data protection obligations.</t>
  </si>
  <si>
    <t>2026-08-25</t>
  </si>
  <si>
    <t>Active expansion into enterprise cloud and managed security services.</t>
  </si>
  <si>
    <t>Group 42 (G42)</t>
  </si>
  <si>
    <t>https://g42.ai/careers</t>
  </si>
  <si>
    <t>Cloud Security Architect, AI Security Governance Specialist, GRC Analyst</t>
  </si>
  <si>
    <t>Information Security &amp; Compliance</t>
  </si>
  <si>
    <t>Large Enterprise (AI &amp; Cloud Tech)</t>
  </si>
  <si>
    <t>Leading UAE-headquartered artificial intelligence and cloud computing holding company.</t>
  </si>
  <si>
    <t>2026-09-04</t>
  </si>
  <si>
    <t>Rapid growth in AI governance, cloud security, and national tech projects.</t>
  </si>
  <si>
    <t>Mubadala Investment Company</t>
  </si>
  <si>
    <t>https://www.mubadala.com/en/careers</t>
  </si>
  <si>
    <t>Cyber Risk Manager, IT Compliance Officer, Information Security Analyst</t>
  </si>
  <si>
    <t>Information Technology &amp; Risk</t>
  </si>
  <si>
    <t>Sovereign Investor / Government</t>
  </si>
  <si>
    <t>Sovereign investor managing a diverse global portfolio with stringent cybersecurity governance needs.</t>
  </si>
  <si>
    <t>Oversees numerous portfolio companies requiring robust cybersecurity oversight.</t>
  </si>
  <si>
    <t>Department of Government Enablement (DGE)</t>
  </si>
  <si>
    <t>https://www.dge.gov.ae/</t>
  </si>
  <si>
    <t>Government Information Security Specialist, Cyber Governance Analyst</t>
  </si>
  <si>
    <t>Digital Government Sector</t>
  </si>
  <si>
    <t>Government Entity</t>
  </si>
  <si>
    <t>Governs digital transformation, cybersecurity policies, and unified standards across Abu Dhabi government.</t>
  </si>
  <si>
    <t>2026-08-29</t>
  </si>
  <si>
    <t>Central driver for Abu Dhabi government cyber frameworks and compliance.</t>
  </si>
  <si>
    <t>PwC Middle East</t>
  </si>
  <si>
    <t>Dubai / Abu Dhabi</t>
  </si>
  <si>
    <t>https://www.pwc.com/m1/en/careers.html</t>
  </si>
  <si>
    <t>Cybersecurity Consultant, Risk Assurance Associate, GRC Advisory Specialist</t>
  </si>
  <si>
    <t>Risk Consulting / Cybersecurity</t>
  </si>
  <si>
    <t>Professional Services Firm</t>
  </si>
  <si>
    <t>Tier-1 advisory firm providing extensive cybersecurity, privacy, and regulatory compliance consulting to UAE clients.</t>
  </si>
  <si>
    <t>High volume of client engagements across UAE federal and banking sectors.</t>
  </si>
  <si>
    <t>EY Middle East</t>
  </si>
  <si>
    <t>https://www.ey.com/en_gl/careers</t>
  </si>
  <si>
    <t>Cyber Security Consultant, Technology Risk Analyst, GRC Specialist</t>
  </si>
  <si>
    <t>Technology Risk</t>
  </si>
  <si>
    <t>Leading professional services firm offering specialized risk and security consulting.</t>
  </si>
  <si>
    <t>2026-08-27</t>
  </si>
  <si>
    <t>Strong pipeline of regional digital trust and cybersecurity transformation projects.</t>
  </si>
  <si>
    <t>KPMG Lower Gulf</t>
  </si>
  <si>
    <t>https://kpmg.com/ae/en/home/careers.html</t>
  </si>
  <si>
    <t>Risk Advisory Consultant, Information Security Specialist</t>
  </si>
  <si>
    <t>Risk Consulting</t>
  </si>
  <si>
    <t>Prominent audit, tax, and advisory firm with dedicated cyber and risk practices in the UAE.</t>
  </si>
  <si>
    <t>2026-08-20</t>
  </si>
  <si>
    <t>Active advisory practice in government and financial services sectors.</t>
  </si>
  <si>
    <t>Cleveland Clinic Abu Dhabi</t>
  </si>
  <si>
    <t>https://www.clevelandclinicabudhabi.ae/en/about-us/careers</t>
  </si>
  <si>
    <t>Information Security Specialist, Healthcare Compliance Analyst</t>
  </si>
  <si>
    <t>Information Technology</t>
  </si>
  <si>
    <t>Large Enterprise (Healthcare)</t>
  </si>
  <si>
    <t>World-class healthcare facility bound by stringent patient data privacy and health IT regulations.</t>
  </si>
  <si>
    <t>2026-08-22</t>
  </si>
  <si>
    <t>High sensitivity around health data privacy and medical IoT security.</t>
  </si>
  <si>
    <t>Mediclinic Middle East</t>
  </si>
  <si>
    <t>https://www.mediclinic.ae/en/corporate/careers.html</t>
  </si>
  <si>
    <t>IT Security Officer, Data Privacy Analyst</t>
  </si>
  <si>
    <t>IT &amp; Compliance</t>
  </si>
  <si>
    <t>Major private healthcare provider operating premier hospitals and clinics across the UAE.</t>
  </si>
  <si>
    <t>Low</t>
  </si>
  <si>
    <t>2026-08-15</t>
  </si>
  <si>
    <t>Focuses on robust patient data protection and clinical network security.</t>
  </si>
  <si>
    <t>Dubai Holding</t>
  </si>
  <si>
    <t>https://dubaiholding.com/en/careers/</t>
  </si>
  <si>
    <t>Cyber Risk Analyst, IT Governance Officer</t>
  </si>
  <si>
    <t>Group IT</t>
  </si>
  <si>
    <t>Large Enterprise (Diversified Holding)</t>
  </si>
  <si>
    <t>Diversified global investment holding company with significant real estate, hospitality, and retail assets.</t>
  </si>
  <si>
    <t>2026-08-18</t>
  </si>
  <si>
    <t>Group-wide digital governance and cybersecurity coordination.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</si>
</sst>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rgb="FFFFFFFF"/>
      <name val="Segoe UI"/>
    </font>
    <font>
      <sz val="10"/>
      <name val="Segoe UI"/>
    </font>
    <font>
      <b/>
      <sz val="16"/>
      <color rgb="FF1A252C"/>
      <name val="Segoe UI"/>
    </font>
    <font>
      <i/>
      <sz val="10"/>
      <color rgb="FF5A6B74"/>
      <name val="Segoe UI"/>
    </font>
    <font>
      <b/>
      <sz val="10"/>
      <color rgb="FF5A6B74"/>
      <name val="Segoe UI"/>
    </font>
    <font>
      <b/>
      <sz val="18"/>
      <color rgb="FF1E3A5F"/>
      <name val="Segoe UI"/>
    </font>
    <font>
      <b/>
      <sz val="12"/>
      <color rgb="FF1A252C"/>
      <name val="Segoe UI"/>
    </font>
    <font>
      <b/>
      <sz val="10"/>
      <name val="Segoe UI"/>
    </font>
  </fonts>
  <fills count="6">
    <fill>
      <patternFill patternType="none"/>
    </fill>
    <fill>
      <patternFill patternType="gray125"/>
    </fill>
    <fill>
      <patternFill patternType="solid">
        <fgColor rgb="FF1E3A5F"/>
        <bgColor rgb="FF1E3A5F"/>
      </patternFill>
    </fill>
    <fill>
      <patternFill patternType="solid">
        <fgColor rgb="FFF4F6F8"/>
        <bgColor rgb="FFF4F6F8"/>
      </patternFill>
    </fill>
    <fill>
      <patternFill patternType="solid">
        <fgColor rgb="FFFFFFFF"/>
        <bgColor rgb="FFFFFFFF"/>
      </patternFill>
    </fill>
    <fill>
      <patternFill patternType="solid">
        <fgColor rgb="FFEAEEF1"/>
        <bgColor rgb="FFEAEEF1"/>
      </patternFill>
    </fill>
  </fills>
  <borders count="2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0" borderId="0" xfId="0" applyFont="1"/>
    <xf numFmtId="0" fontId="4" fillId="0" borderId="0" xfId="0" applyFont="1"/>
    <xf numFmtId="0" fontId="7" fillId="0" borderId="0" xfId="0" applyFont="1"/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0" fontId="8" fillId="3" borderId="1" xfId="0" applyFont="1" applyFill="1" applyBorder="1" applyAlignment="1">
      <alignment horizontal="center" vertical="center"/>
    </xf>
    <xf numFmtId="0" fontId="2" fillId="4" borderId="1" xfId="0" applyFont="1" applyFill="1" applyBorder="1"/>
    <xf numFmtId="0" fontId="8" fillId="4" borderId="1" xfId="0" applyFont="1" applyFill="1" applyBorder="1" applyAlignment="1">
      <alignment horizontal="center" vertical="center"/>
    </xf>
    <xf numFmtId="0" fontId="8" fillId="5" borderId="1" xfId="0" applyFont="1" applyFill="1" applyBorder="1"/>
    <xf numFmtId="0" fontId="8" fillId="5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0" fillId="0" borderId="1" xfId="0" applyBorder="1"/>
    <xf numFmtId="0" fontId="5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Target Companies by Sector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Dashboard!C11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Dashboard!$B$12:$B$19</c:f>
              <c:strCache>
                <c:ptCount val="8"/>
                <c:pt idx="0">
                  <c:v>Banking / Financial Services</c:v>
                </c:pt>
                <c:pt idx="1">
                  <c:v>Consulting</c:v>
                </c:pt>
                <c:pt idx="2">
                  <c:v>Government / Public Sector</c:v>
                </c:pt>
                <c:pt idx="3">
                  <c:v>Telecom</c:v>
                </c:pt>
                <c:pt idx="4">
                  <c:v>Energy</c:v>
                </c:pt>
                <c:pt idx="5">
                  <c:v>Healthcare</c:v>
                </c:pt>
                <c:pt idx="6">
                  <c:v>Technology</c:v>
                </c:pt>
                <c:pt idx="7">
                  <c:v>Professional Services</c:v>
                </c:pt>
              </c:strCache>
            </c:strRef>
          </c:cat>
          <c:val>
            <c:numRef>
              <c:f>Dashboard!$C$12:$C$19</c:f>
              <c:numCache>
                <c:formatCode>General</c:formatCode>
                <c:ptCount val="8"/>
                <c:pt idx="0">
                  <c:v>3</c:v>
                </c:pt>
                <c:pt idx="1">
                  <c:v>3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1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24-614D-9B43-0B3885BA55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Sector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Number of Companies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 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9</xdr:row>
      <xdr:rowOff>0</xdr:rowOff>
    </xdr:from>
    <xdr:ext cx="648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M20"/>
  <sheetViews>
    <sheetView tabSelected="1" workbookViewId="0"/>
  </sheetViews>
  <sheetFormatPr defaultRowHeight="15" x14ac:dyDescent="0.2"/>
  <cols>
    <col min="1" max="1" width="4.03515625" customWidth="1"/>
    <col min="2" max="2" width="29.99609375" customWidth="1"/>
    <col min="3" max="3" width="11.97265625" customWidth="1"/>
    <col min="4" max="4" width="4.03515625" customWidth="1"/>
    <col min="5" max="5" width="25.01953125" customWidth="1"/>
    <col min="6" max="7" width="11.97265625" customWidth="1"/>
    <col min="8" max="8" width="18.96484375" customWidth="1"/>
    <col min="9" max="10" width="11.97265625" customWidth="1"/>
    <col min="11" max="11" width="23" customWidth="1"/>
    <col min="12" max="13" width="11.97265625" customWidth="1"/>
  </cols>
  <sheetData>
    <row r="2" spans="2:13" ht="23.25" x14ac:dyDescent="0.35">
      <c r="B2" s="1" t="s">
        <v>0</v>
      </c>
    </row>
    <row r="3" spans="2:13" x14ac:dyDescent="0.2">
      <c r="B3" s="2" t="s">
        <v>1</v>
      </c>
    </row>
    <row r="5" spans="2:13" x14ac:dyDescent="0.2">
      <c r="B5" s="19" t="s">
        <v>2</v>
      </c>
      <c r="C5" s="18"/>
      <c r="D5" s="18"/>
      <c r="E5" s="19" t="s">
        <v>3</v>
      </c>
      <c r="F5" s="18"/>
      <c r="G5" s="18"/>
      <c r="H5" s="19" t="s">
        <v>4</v>
      </c>
      <c r="I5" s="18"/>
      <c r="J5" s="18"/>
      <c r="K5" s="19" t="s">
        <v>5</v>
      </c>
      <c r="L5" s="18"/>
      <c r="M5" s="18"/>
    </row>
    <row r="6" spans="2:13" x14ac:dyDescent="0.2">
      <c r="B6" s="17">
        <f>COUNTA('Target Companies'!A2:A100)</f>
        <v>16</v>
      </c>
      <c r="C6" s="18"/>
      <c r="D6" s="18"/>
      <c r="E6" s="17">
        <f>COUNTIF('Target Companies'!I2:I100, "High")</f>
        <v>9</v>
      </c>
      <c r="F6" s="18"/>
      <c r="G6" s="18"/>
      <c r="H6" s="17">
        <f>COUNTA(B12:B19)</f>
        <v>8</v>
      </c>
      <c r="I6" s="18"/>
      <c r="J6" s="18"/>
      <c r="K6" s="17">
        <f>COUNTIF('Target Companies'!B2:B100, "Energy") + COUNTIF('Target Companies'!B2:B100, "Government / Public Sector")</f>
        <v>4</v>
      </c>
      <c r="L6" s="18"/>
      <c r="M6" s="18"/>
    </row>
    <row r="7" spans="2:13" x14ac:dyDescent="0.2"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</row>
    <row r="10" spans="2:13" ht="17.25" x14ac:dyDescent="0.25">
      <c r="B10" s="3" t="s">
        <v>6</v>
      </c>
    </row>
    <row r="11" spans="2:13" ht="24" customHeight="1" x14ac:dyDescent="0.2">
      <c r="B11" s="4" t="s">
        <v>7</v>
      </c>
      <c r="C11" s="5" t="s">
        <v>8</v>
      </c>
    </row>
    <row r="12" spans="2:13" ht="20.100000000000001" customHeight="1" x14ac:dyDescent="0.2">
      <c r="B12" s="6" t="s">
        <v>9</v>
      </c>
      <c r="C12" s="7">
        <f>COUNTIF('Target Companies'!B$2:B$100, B12)</f>
        <v>3</v>
      </c>
    </row>
    <row r="13" spans="2:13" ht="20.100000000000001" customHeight="1" x14ac:dyDescent="0.2">
      <c r="B13" s="8" t="s">
        <v>10</v>
      </c>
      <c r="C13" s="9">
        <f>COUNTIF('Target Companies'!B$2:B$100, B13)</f>
        <v>3</v>
      </c>
    </row>
    <row r="14" spans="2:13" ht="20.100000000000001" customHeight="1" x14ac:dyDescent="0.2">
      <c r="B14" s="6" t="s">
        <v>11</v>
      </c>
      <c r="C14" s="7">
        <f>COUNTIF('Target Companies'!B$2:B$100, B14)</f>
        <v>2</v>
      </c>
    </row>
    <row r="15" spans="2:13" ht="20.100000000000001" customHeight="1" x14ac:dyDescent="0.2">
      <c r="B15" s="8" t="s">
        <v>12</v>
      </c>
      <c r="C15" s="9">
        <f>COUNTIF('Target Companies'!B$2:B$100, B15)</f>
        <v>2</v>
      </c>
    </row>
    <row r="16" spans="2:13" ht="20.100000000000001" customHeight="1" x14ac:dyDescent="0.2">
      <c r="B16" s="6" t="s">
        <v>13</v>
      </c>
      <c r="C16" s="7">
        <f>COUNTIF('Target Companies'!B$2:B$100, B16)</f>
        <v>2</v>
      </c>
    </row>
    <row r="17" spans="2:3" ht="20.100000000000001" customHeight="1" x14ac:dyDescent="0.2">
      <c r="B17" s="8" t="s">
        <v>14</v>
      </c>
      <c r="C17" s="9">
        <f>COUNTIF('Target Companies'!B$2:B$100, B17)</f>
        <v>2</v>
      </c>
    </row>
    <row r="18" spans="2:3" ht="20.100000000000001" customHeight="1" x14ac:dyDescent="0.2">
      <c r="B18" s="6" t="s">
        <v>15</v>
      </c>
      <c r="C18" s="7">
        <f>COUNTIF('Target Companies'!B$2:B$100, B18)</f>
        <v>1</v>
      </c>
    </row>
    <row r="19" spans="2:3" ht="20.100000000000001" customHeight="1" x14ac:dyDescent="0.2">
      <c r="B19" s="8" t="s">
        <v>16</v>
      </c>
      <c r="C19" s="9">
        <f>COUNTIF('Target Companies'!B$2:B$100, B19)</f>
        <v>1</v>
      </c>
    </row>
    <row r="20" spans="2:3" ht="21.95" customHeight="1" x14ac:dyDescent="0.2">
      <c r="B20" s="10" t="s">
        <v>2</v>
      </c>
      <c r="C20" s="11">
        <f>SUM(C12:C19)</f>
        <v>16</v>
      </c>
    </row>
  </sheetData>
  <mergeCells count="8">
    <mergeCell ref="K5:M5"/>
    <mergeCell ref="H5:J5"/>
    <mergeCell ref="K6:M7"/>
    <mergeCell ref="E6:G7"/>
    <mergeCell ref="H6:J7"/>
    <mergeCell ref="B5:D5"/>
    <mergeCell ref="B6:D7"/>
    <mergeCell ref="E5:G5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7"/>
  <sheetViews>
    <sheetView workbookViewId="0">
      <pane xSplit="1" ySplit="1" topLeftCell="B2" activePane="bottomRight" state="frozen"/>
      <selection pane="bottomLeft"/>
      <selection pane="topRight"/>
      <selection pane="bottomRight"/>
    </sheetView>
  </sheetViews>
  <sheetFormatPr defaultRowHeight="15" x14ac:dyDescent="0.2"/>
  <cols>
    <col min="1" max="1" width="29.99609375" customWidth="1"/>
    <col min="2" max="2" width="27.98046875" customWidth="1"/>
    <col min="3" max="3" width="18.0234375" customWidth="1"/>
    <col min="4" max="4" width="34.97265625" customWidth="1"/>
    <col min="5" max="5" width="45.0625" customWidth="1"/>
    <col min="6" max="6" width="25.01953125" customWidth="1"/>
    <col min="7" max="7" width="29.99609375" customWidth="1"/>
    <col min="8" max="8" width="45.0625" customWidth="1"/>
    <col min="9" max="9" width="11.97265625" customWidth="1"/>
    <col min="10" max="10" width="14.9296875" customWidth="1"/>
    <col min="11" max="11" width="34.97265625" customWidth="1"/>
  </cols>
  <sheetData>
    <row r="1" spans="1:11" ht="27.95" customHeight="1" x14ac:dyDescent="0.25">
      <c r="A1" s="12" t="s">
        <v>17</v>
      </c>
      <c r="B1" s="12" t="s">
        <v>7</v>
      </c>
      <c r="C1" s="12" t="s">
        <v>18</v>
      </c>
      <c r="D1" s="12" t="s">
        <v>19</v>
      </c>
      <c r="E1" s="12" t="s">
        <v>20</v>
      </c>
      <c r="F1" s="12" t="s">
        <v>21</v>
      </c>
      <c r="G1" s="12" t="s">
        <v>22</v>
      </c>
      <c r="H1" s="12" t="s">
        <v>23</v>
      </c>
      <c r="I1" s="12" t="s">
        <v>24</v>
      </c>
      <c r="J1" s="12" t="s">
        <v>25</v>
      </c>
      <c r="K1" s="12" t="s">
        <v>26</v>
      </c>
    </row>
    <row r="2" spans="1:11" ht="21.95" customHeight="1" x14ac:dyDescent="0.2">
      <c r="A2" s="13" t="s">
        <v>27</v>
      </c>
      <c r="B2" s="14" t="s">
        <v>9</v>
      </c>
      <c r="C2" s="14" t="s">
        <v>28</v>
      </c>
      <c r="D2" s="13" t="s">
        <v>29</v>
      </c>
      <c r="E2" s="13" t="s">
        <v>30</v>
      </c>
      <c r="F2" s="13" t="s">
        <v>31</v>
      </c>
      <c r="G2" s="13" t="s">
        <v>32</v>
      </c>
      <c r="H2" s="13" t="s">
        <v>33</v>
      </c>
      <c r="I2" s="14" t="s">
        <v>34</v>
      </c>
      <c r="J2" s="14" t="s">
        <v>35</v>
      </c>
      <c r="K2" s="13" t="s">
        <v>36</v>
      </c>
    </row>
    <row r="3" spans="1:11" ht="21.95" customHeight="1" x14ac:dyDescent="0.2">
      <c r="A3" s="15" t="s">
        <v>37</v>
      </c>
      <c r="B3" s="16" t="s">
        <v>9</v>
      </c>
      <c r="C3" s="16" t="s">
        <v>38</v>
      </c>
      <c r="D3" s="15" t="s">
        <v>39</v>
      </c>
      <c r="E3" s="15" t="s">
        <v>40</v>
      </c>
      <c r="F3" s="15" t="s">
        <v>41</v>
      </c>
      <c r="G3" s="15" t="s">
        <v>32</v>
      </c>
      <c r="H3" s="15" t="s">
        <v>42</v>
      </c>
      <c r="I3" s="16" t="s">
        <v>34</v>
      </c>
      <c r="J3" s="16" t="s">
        <v>43</v>
      </c>
      <c r="K3" s="15" t="s">
        <v>44</v>
      </c>
    </row>
    <row r="4" spans="1:11" ht="21.95" customHeight="1" x14ac:dyDescent="0.2">
      <c r="A4" s="13" t="s">
        <v>45</v>
      </c>
      <c r="B4" s="14" t="s">
        <v>9</v>
      </c>
      <c r="C4" s="14" t="s">
        <v>28</v>
      </c>
      <c r="D4" s="13" t="s">
        <v>46</v>
      </c>
      <c r="E4" s="13" t="s">
        <v>47</v>
      </c>
      <c r="F4" s="13" t="s">
        <v>48</v>
      </c>
      <c r="G4" s="13" t="s">
        <v>32</v>
      </c>
      <c r="H4" s="13" t="s">
        <v>49</v>
      </c>
      <c r="I4" s="14" t="s">
        <v>50</v>
      </c>
      <c r="J4" s="14" t="s">
        <v>51</v>
      </c>
      <c r="K4" s="13" t="s">
        <v>52</v>
      </c>
    </row>
    <row r="5" spans="1:11" ht="21.95" customHeight="1" x14ac:dyDescent="0.2">
      <c r="A5" s="15" t="s">
        <v>53</v>
      </c>
      <c r="B5" s="16" t="s">
        <v>13</v>
      </c>
      <c r="C5" s="16" t="s">
        <v>28</v>
      </c>
      <c r="D5" s="15" t="s">
        <v>54</v>
      </c>
      <c r="E5" s="15" t="s">
        <v>55</v>
      </c>
      <c r="F5" s="15" t="s">
        <v>56</v>
      </c>
      <c r="G5" s="15" t="s">
        <v>57</v>
      </c>
      <c r="H5" s="15" t="s">
        <v>58</v>
      </c>
      <c r="I5" s="16" t="s">
        <v>34</v>
      </c>
      <c r="J5" s="16" t="s">
        <v>59</v>
      </c>
      <c r="K5" s="15" t="s">
        <v>60</v>
      </c>
    </row>
    <row r="6" spans="1:11" ht="21.95" customHeight="1" x14ac:dyDescent="0.2">
      <c r="A6" s="13" t="s">
        <v>61</v>
      </c>
      <c r="B6" s="14" t="s">
        <v>13</v>
      </c>
      <c r="C6" s="14" t="s">
        <v>28</v>
      </c>
      <c r="D6" s="13" t="s">
        <v>62</v>
      </c>
      <c r="E6" s="13" t="s">
        <v>63</v>
      </c>
      <c r="F6" s="13" t="s">
        <v>64</v>
      </c>
      <c r="G6" s="13" t="s">
        <v>65</v>
      </c>
      <c r="H6" s="13" t="s">
        <v>66</v>
      </c>
      <c r="I6" s="14" t="s">
        <v>50</v>
      </c>
      <c r="J6" s="14" t="s">
        <v>67</v>
      </c>
      <c r="K6" s="13" t="s">
        <v>68</v>
      </c>
    </row>
    <row r="7" spans="1:11" ht="21.95" customHeight="1" x14ac:dyDescent="0.2">
      <c r="A7" s="15" t="s">
        <v>69</v>
      </c>
      <c r="B7" s="16" t="s">
        <v>12</v>
      </c>
      <c r="C7" s="16" t="s">
        <v>28</v>
      </c>
      <c r="D7" s="15" t="s">
        <v>70</v>
      </c>
      <c r="E7" s="15" t="s">
        <v>71</v>
      </c>
      <c r="F7" s="15" t="s">
        <v>72</v>
      </c>
      <c r="G7" s="15" t="s">
        <v>73</v>
      </c>
      <c r="H7" s="15" t="s">
        <v>74</v>
      </c>
      <c r="I7" s="16" t="s">
        <v>34</v>
      </c>
      <c r="J7" s="16" t="s">
        <v>75</v>
      </c>
      <c r="K7" s="15" t="s">
        <v>76</v>
      </c>
    </row>
    <row r="8" spans="1:11" ht="21.95" customHeight="1" x14ac:dyDescent="0.2">
      <c r="A8" s="13" t="s">
        <v>77</v>
      </c>
      <c r="B8" s="14" t="s">
        <v>12</v>
      </c>
      <c r="C8" s="14" t="s">
        <v>38</v>
      </c>
      <c r="D8" s="13" t="s">
        <v>78</v>
      </c>
      <c r="E8" s="13" t="s">
        <v>79</v>
      </c>
      <c r="F8" s="13" t="s">
        <v>80</v>
      </c>
      <c r="G8" s="13" t="s">
        <v>73</v>
      </c>
      <c r="H8" s="13" t="s">
        <v>81</v>
      </c>
      <c r="I8" s="14" t="s">
        <v>50</v>
      </c>
      <c r="J8" s="14" t="s">
        <v>82</v>
      </c>
      <c r="K8" s="13" t="s">
        <v>83</v>
      </c>
    </row>
    <row r="9" spans="1:11" ht="21.95" customHeight="1" x14ac:dyDescent="0.2">
      <c r="A9" s="15" t="s">
        <v>84</v>
      </c>
      <c r="B9" s="16" t="s">
        <v>15</v>
      </c>
      <c r="C9" s="16" t="s">
        <v>28</v>
      </c>
      <c r="D9" s="15" t="s">
        <v>85</v>
      </c>
      <c r="E9" s="15" t="s">
        <v>86</v>
      </c>
      <c r="F9" s="15" t="s">
        <v>87</v>
      </c>
      <c r="G9" s="15" t="s">
        <v>88</v>
      </c>
      <c r="H9" s="15" t="s">
        <v>89</v>
      </c>
      <c r="I9" s="16" t="s">
        <v>34</v>
      </c>
      <c r="J9" s="16" t="s">
        <v>90</v>
      </c>
      <c r="K9" s="15" t="s">
        <v>91</v>
      </c>
    </row>
    <row r="10" spans="1:11" ht="21.95" customHeight="1" x14ac:dyDescent="0.2">
      <c r="A10" s="13" t="s">
        <v>92</v>
      </c>
      <c r="B10" s="14" t="s">
        <v>11</v>
      </c>
      <c r="C10" s="14" t="s">
        <v>28</v>
      </c>
      <c r="D10" s="13" t="s">
        <v>93</v>
      </c>
      <c r="E10" s="13" t="s">
        <v>94</v>
      </c>
      <c r="F10" s="13" t="s">
        <v>95</v>
      </c>
      <c r="G10" s="13" t="s">
        <v>96</v>
      </c>
      <c r="H10" s="13" t="s">
        <v>97</v>
      </c>
      <c r="I10" s="14" t="s">
        <v>34</v>
      </c>
      <c r="J10" s="14" t="s">
        <v>35</v>
      </c>
      <c r="K10" s="13" t="s">
        <v>98</v>
      </c>
    </row>
    <row r="11" spans="1:11" ht="21.95" customHeight="1" x14ac:dyDescent="0.2">
      <c r="A11" s="15" t="s">
        <v>99</v>
      </c>
      <c r="B11" s="16" t="s">
        <v>11</v>
      </c>
      <c r="C11" s="16" t="s">
        <v>28</v>
      </c>
      <c r="D11" s="15" t="s">
        <v>100</v>
      </c>
      <c r="E11" s="15" t="s">
        <v>101</v>
      </c>
      <c r="F11" s="15" t="s">
        <v>102</v>
      </c>
      <c r="G11" s="15" t="s">
        <v>103</v>
      </c>
      <c r="H11" s="15" t="s">
        <v>104</v>
      </c>
      <c r="I11" s="16" t="s">
        <v>34</v>
      </c>
      <c r="J11" s="16" t="s">
        <v>105</v>
      </c>
      <c r="K11" s="15" t="s">
        <v>106</v>
      </c>
    </row>
    <row r="12" spans="1:11" ht="21.95" customHeight="1" x14ac:dyDescent="0.2">
      <c r="A12" s="13" t="s">
        <v>107</v>
      </c>
      <c r="B12" s="14" t="s">
        <v>10</v>
      </c>
      <c r="C12" s="14" t="s">
        <v>108</v>
      </c>
      <c r="D12" s="13" t="s">
        <v>109</v>
      </c>
      <c r="E12" s="13" t="s">
        <v>110</v>
      </c>
      <c r="F12" s="13" t="s">
        <v>111</v>
      </c>
      <c r="G12" s="13" t="s">
        <v>112</v>
      </c>
      <c r="H12" s="13" t="s">
        <v>113</v>
      </c>
      <c r="I12" s="14" t="s">
        <v>34</v>
      </c>
      <c r="J12" s="14" t="s">
        <v>43</v>
      </c>
      <c r="K12" s="13" t="s">
        <v>114</v>
      </c>
    </row>
    <row r="13" spans="1:11" ht="21.95" customHeight="1" x14ac:dyDescent="0.2">
      <c r="A13" s="15" t="s">
        <v>115</v>
      </c>
      <c r="B13" s="16" t="s">
        <v>10</v>
      </c>
      <c r="C13" s="16" t="s">
        <v>108</v>
      </c>
      <c r="D13" s="15" t="s">
        <v>116</v>
      </c>
      <c r="E13" s="15" t="s">
        <v>117</v>
      </c>
      <c r="F13" s="15" t="s">
        <v>118</v>
      </c>
      <c r="G13" s="15" t="s">
        <v>112</v>
      </c>
      <c r="H13" s="15" t="s">
        <v>119</v>
      </c>
      <c r="I13" s="16" t="s">
        <v>34</v>
      </c>
      <c r="J13" s="16" t="s">
        <v>120</v>
      </c>
      <c r="K13" s="15" t="s">
        <v>121</v>
      </c>
    </row>
    <row r="14" spans="1:11" ht="21.95" customHeight="1" x14ac:dyDescent="0.2">
      <c r="A14" s="13" t="s">
        <v>122</v>
      </c>
      <c r="B14" s="14" t="s">
        <v>10</v>
      </c>
      <c r="C14" s="14" t="s">
        <v>108</v>
      </c>
      <c r="D14" s="13" t="s">
        <v>123</v>
      </c>
      <c r="E14" s="13" t="s">
        <v>124</v>
      </c>
      <c r="F14" s="13" t="s">
        <v>125</v>
      </c>
      <c r="G14" s="13" t="s">
        <v>112</v>
      </c>
      <c r="H14" s="13" t="s">
        <v>126</v>
      </c>
      <c r="I14" s="14" t="s">
        <v>50</v>
      </c>
      <c r="J14" s="14" t="s">
        <v>127</v>
      </c>
      <c r="K14" s="13" t="s">
        <v>128</v>
      </c>
    </row>
    <row r="15" spans="1:11" ht="21.95" customHeight="1" x14ac:dyDescent="0.2">
      <c r="A15" s="15" t="s">
        <v>129</v>
      </c>
      <c r="B15" s="16" t="s">
        <v>14</v>
      </c>
      <c r="C15" s="16" t="s">
        <v>28</v>
      </c>
      <c r="D15" s="15" t="s">
        <v>130</v>
      </c>
      <c r="E15" s="15" t="s">
        <v>131</v>
      </c>
      <c r="F15" s="15" t="s">
        <v>132</v>
      </c>
      <c r="G15" s="15" t="s">
        <v>133</v>
      </c>
      <c r="H15" s="15" t="s">
        <v>134</v>
      </c>
      <c r="I15" s="16" t="s">
        <v>50</v>
      </c>
      <c r="J15" s="16" t="s">
        <v>135</v>
      </c>
      <c r="K15" s="15" t="s">
        <v>136</v>
      </c>
    </row>
    <row r="16" spans="1:11" ht="21.95" customHeight="1" x14ac:dyDescent="0.2">
      <c r="A16" s="13" t="s">
        <v>137</v>
      </c>
      <c r="B16" s="14" t="s">
        <v>14</v>
      </c>
      <c r="C16" s="14" t="s">
        <v>108</v>
      </c>
      <c r="D16" s="13" t="s">
        <v>138</v>
      </c>
      <c r="E16" s="13" t="s">
        <v>139</v>
      </c>
      <c r="F16" s="13" t="s">
        <v>140</v>
      </c>
      <c r="G16" s="13" t="s">
        <v>133</v>
      </c>
      <c r="H16" s="13" t="s">
        <v>141</v>
      </c>
      <c r="I16" s="14" t="s">
        <v>142</v>
      </c>
      <c r="J16" s="14" t="s">
        <v>143</v>
      </c>
      <c r="K16" s="13" t="s">
        <v>144</v>
      </c>
    </row>
    <row r="17" spans="1:11" ht="21.95" customHeight="1" x14ac:dyDescent="0.2">
      <c r="A17" s="15" t="s">
        <v>145</v>
      </c>
      <c r="B17" s="16" t="s">
        <v>16</v>
      </c>
      <c r="C17" s="16" t="s">
        <v>38</v>
      </c>
      <c r="D17" s="15" t="s">
        <v>146</v>
      </c>
      <c r="E17" s="15" t="s">
        <v>147</v>
      </c>
      <c r="F17" s="15" t="s">
        <v>148</v>
      </c>
      <c r="G17" s="15" t="s">
        <v>149</v>
      </c>
      <c r="H17" s="15" t="s">
        <v>150</v>
      </c>
      <c r="I17" s="16" t="s">
        <v>50</v>
      </c>
      <c r="J17" s="16" t="s">
        <v>151</v>
      </c>
      <c r="K17" s="15" t="s">
        <v>152</v>
      </c>
    </row>
  </sheetData>
  <autoFilter ref="A1:K100" xr:uid="{00000000-0009-0000-0000-000001000000}"/>
  <dataValidations count="2">
    <dataValidation type="list" allowBlank="1" sqref="B2:B100" xr:uid="{00000000-0002-0000-0100-000000000000}">
      <formula1>"Banking / Financial Services,Consulting,Government / Public Sector,Telecom,Energy,Healthcare,Technology,Professional Services"</formula1>
    </dataValidation>
    <dataValidation type="list" allowBlank="1" sqref="I2:I100" xr:uid="{00000000-0002-0000-0100-000001000000}">
      <formula1>"High,Medium,Low"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Dashboard</vt:lpstr>
      <vt:lpstr>Target Companies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2026-09-19T11:57:53Z</dcterms:created>
  <dcterms:modified xsi:type="dcterms:W3CDTF">2026-09-19T11:57:53Z</dcterms:modified>
</cp:coreProperties>
</file>